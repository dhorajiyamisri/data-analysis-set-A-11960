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hidePivotFieldList="1" defaultThemeVersion="166925"/>
  <xr:revisionPtr revIDLastSave="0" documentId="8_{9B6626D8-03E9-4417-B46C-CBDFBF96BBE1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Raw" sheetId="1" r:id="rId1"/>
    <sheet name="Lookup" sheetId="2" r:id="rId2"/>
    <sheet name="Pivot Table" sheetId="5" r:id="rId3"/>
    <sheet name="Clean" sheetId="3" r:id="rId4"/>
    <sheet name="Summary" sheetId="4" r:id="rId5"/>
  </sheets>
  <definedNames>
    <definedName name="_xlnm._FilterDatabase" localSheetId="0" hidden="1">Raw!$A$1:$F$14</definedName>
  </definedNames>
  <calcPr calcId="191028"/>
  <pivotCaches>
    <pivotCache cacheId="11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4" l="1"/>
  <c r="H11" i="4"/>
  <c r="B12" i="4"/>
  <c r="B13" i="4"/>
  <c r="B11" i="4"/>
  <c r="I5" i="4"/>
  <c r="E5" i="4"/>
  <c r="A5" i="4"/>
  <c r="H3" i="3"/>
  <c r="H4" i="3"/>
  <c r="H5" i="3"/>
  <c r="H6" i="3"/>
  <c r="H7" i="3"/>
  <c r="H8" i="3"/>
  <c r="H9" i="3"/>
  <c r="H10" i="3"/>
  <c r="H11" i="3"/>
  <c r="H12" i="3"/>
  <c r="H13" i="3"/>
  <c r="H2" i="3"/>
  <c r="G3" i="3"/>
  <c r="G4" i="3"/>
  <c r="G5" i="3"/>
  <c r="G6" i="3"/>
  <c r="G7" i="3"/>
  <c r="G8" i="3"/>
  <c r="G9" i="3"/>
  <c r="G10" i="3"/>
  <c r="G11" i="3"/>
  <c r="G12" i="3"/>
  <c r="G13" i="3"/>
  <c r="G2" i="3"/>
</calcChain>
</file>

<file path=xl/sharedStrings.xml><?xml version="1.0" encoding="utf-8"?>
<sst xmlns="http://schemas.openxmlformats.org/spreadsheetml/2006/main" count="133" uniqueCount="53">
  <si>
    <t>record_id</t>
  </si>
  <si>
    <t>month</t>
  </si>
  <si>
    <t>record_id2</t>
  </si>
  <si>
    <t>hub</t>
  </si>
  <si>
    <t>promised_days</t>
  </si>
  <si>
    <t>actual_days</t>
  </si>
  <si>
    <t xml:space="preserve"> Jan</t>
  </si>
  <si>
    <t xml:space="preserve"> R1</t>
  </si>
  <si>
    <t xml:space="preserve"> Mumbai</t>
  </si>
  <si>
    <t xml:space="preserve"> R2</t>
  </si>
  <si>
    <t xml:space="preserve"> Chennai</t>
  </si>
  <si>
    <t xml:space="preserve"> R3</t>
  </si>
  <si>
    <t xml:space="preserve"> Delhi</t>
  </si>
  <si>
    <t xml:space="preserve"> R4</t>
  </si>
  <si>
    <t xml:space="preserve"> Feb</t>
  </si>
  <si>
    <t>Mar</t>
  </si>
  <si>
    <t>R1</t>
  </si>
  <si>
    <t>Mumbai</t>
  </si>
  <si>
    <t xml:space="preserve"> Mar</t>
  </si>
  <si>
    <t>route_id</t>
  </si>
  <si>
    <t>route</t>
  </si>
  <si>
    <t>service_type</t>
  </si>
  <si>
    <t>Metro Link</t>
  </si>
  <si>
    <t>Express</t>
  </si>
  <si>
    <t>R2</t>
  </si>
  <si>
    <t>City Dash</t>
  </si>
  <si>
    <t>R3</t>
  </si>
  <si>
    <t>Highway Freight</t>
  </si>
  <si>
    <t>Standard</t>
  </si>
  <si>
    <t>R4</t>
  </si>
  <si>
    <t>Rural Feeder</t>
  </si>
  <si>
    <t>Sum of delay_days</t>
  </si>
  <si>
    <t xml:space="preserve"> month</t>
  </si>
  <si>
    <t>Grand Total</t>
  </si>
  <si>
    <t xml:space="preserve"> route_id</t>
  </si>
  <si>
    <t xml:space="preserve"> hub</t>
  </si>
  <si>
    <t xml:space="preserve"> promised_days</t>
  </si>
  <si>
    <t xml:space="preserve"> actual_days</t>
  </si>
  <si>
    <t>delay_days</t>
  </si>
  <si>
    <t>DELIVERY DELAY ANALYTICS</t>
  </si>
  <si>
    <t>Executive Summary | Excel Analysis | Set A</t>
  </si>
  <si>
    <t>TOTAL DELAY</t>
  </si>
  <si>
    <t>DELAYED RECORDS</t>
  </si>
  <si>
    <t>DELAY INCIDENCE RATE</t>
  </si>
  <si>
    <t>HUB PERFORMANCE</t>
  </si>
  <si>
    <t>SERVICE PERFORMANCE</t>
  </si>
  <si>
    <t xml:space="preserve">HUB  </t>
  </si>
  <si>
    <t>TOTAL DELAY DAYS</t>
  </si>
  <si>
    <t>SERVICE TYPE</t>
  </si>
  <si>
    <t>Chennai</t>
  </si>
  <si>
    <t>Delhi</t>
  </si>
  <si>
    <t>KEY BUSINESS INSIGHT</t>
  </si>
  <si>
    <t>Mumbai has the highest cumulative delay at 15 days,
while Standard service contributes 22 of the 34 total delay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</si>
</sst>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0" fillId="0" borderId="0" xfId="0" applyAlignment="1">
      <alignment horizontal="left"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</font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 Days by Service Type and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'Pivot Table'!$B$5:$B$7</c:f>
              <c:numCache>
                <c:formatCode>General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D1-4DAC-B877-03791A140188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 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'Pivot Table'!$C$5:$C$7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D1-4DAC-B877-03791A140188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 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'Pivot Table'!$D$5:$D$7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D1-4DAC-B877-03791A140188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 Mar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'Pivot Table'!$E$5:$E$7</c:f>
              <c:numCache>
                <c:formatCode>General</c:formatCode>
                <c:ptCount val="2"/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5D1-4DAC-B877-03791A140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384391"/>
        <c:axId val="1490386439"/>
      </c:barChart>
      <c:catAx>
        <c:axId val="1490384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86439"/>
        <c:crosses val="autoZero"/>
        <c:auto val="1"/>
        <c:lblAlgn val="ctr"/>
        <c:lblOffset val="100"/>
        <c:noMultiLvlLbl val="0"/>
      </c:catAx>
      <c:valAx>
        <c:axId val="1490386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84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123825</xdr:rowOff>
    </xdr:from>
    <xdr:to>
      <xdr:col>7</xdr:col>
      <xdr:colOff>276225</xdr:colOff>
      <xdr:row>23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F94436-2BAB-19D7-81AC-04AF80108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1.551435995367" createdVersion="8" refreshedVersion="8" minRefreshableVersion="3" recordCount="12" xr:uid="{E016E75C-9FA8-4605-847B-050422313341}">
  <cacheSource type="worksheet">
    <worksheetSource name="Table3"/>
  </cacheSource>
  <cacheFields count="8">
    <cacheField name="record_id" numFmtId="0">
      <sharedItems containsSemiMixedTypes="0" containsString="0" containsNumber="1" containsInteger="1" minValue="1" maxValue="12"/>
    </cacheField>
    <cacheField name=" month" numFmtId="0">
      <sharedItems count="4">
        <s v=" Jan"/>
        <s v=" Feb"/>
        <s v="Mar"/>
        <s v=" Mar"/>
      </sharedItems>
    </cacheField>
    <cacheField name=" route_id" numFmtId="0">
      <sharedItems/>
    </cacheField>
    <cacheField name=" hub" numFmtId="0">
      <sharedItems/>
    </cacheField>
    <cacheField name=" promised_days" numFmtId="0">
      <sharedItems containsSemiMixedTypes="0" containsString="0" containsNumber="1" containsInteger="1" minValue="2" maxValue="6"/>
    </cacheField>
    <cacheField name=" actual_days" numFmtId="0">
      <sharedItems containsSemiMixedTypes="0" containsString="0" containsNumber="1" containsInteger="1" minValue="2" maxValue="15"/>
    </cacheField>
    <cacheField name="service_type" numFmtId="0">
      <sharedItems count="2">
        <s v="Express"/>
        <s v="Standard"/>
      </sharedItems>
    </cacheField>
    <cacheField name="delay_days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 R1"/>
    <s v=" Mumbai"/>
    <n v="2"/>
    <n v="2"/>
    <x v="0"/>
    <n v="0"/>
  </r>
  <r>
    <n v="2"/>
    <x v="0"/>
    <s v=" R2"/>
    <s v=" Chennai"/>
    <n v="3"/>
    <n v="4"/>
    <x v="0"/>
    <n v="1"/>
  </r>
  <r>
    <n v="3"/>
    <x v="0"/>
    <s v=" R3"/>
    <s v=" Delhi"/>
    <n v="5"/>
    <n v="8"/>
    <x v="1"/>
    <n v="3"/>
  </r>
  <r>
    <n v="4"/>
    <x v="0"/>
    <s v=" R4"/>
    <s v=" Mumbai"/>
    <n v="6"/>
    <n v="10"/>
    <x v="1"/>
    <n v="4"/>
  </r>
  <r>
    <n v="5"/>
    <x v="1"/>
    <s v=" R1"/>
    <s v=" Chennai"/>
    <n v="2"/>
    <n v="5"/>
    <x v="0"/>
    <n v="3"/>
  </r>
  <r>
    <n v="6"/>
    <x v="1"/>
    <s v=" R2"/>
    <s v=" Delhi"/>
    <n v="3"/>
    <n v="3"/>
    <x v="0"/>
    <n v="0"/>
  </r>
  <r>
    <n v="7"/>
    <x v="1"/>
    <s v=" R3"/>
    <s v=" Delhi"/>
    <n v="5"/>
    <n v="10"/>
    <x v="1"/>
    <n v="5"/>
  </r>
  <r>
    <n v="8"/>
    <x v="1"/>
    <s v=" R4"/>
    <s v=" Chennai"/>
    <n v="6"/>
    <n v="7"/>
    <x v="1"/>
    <n v="1"/>
  </r>
  <r>
    <n v="9"/>
    <x v="2"/>
    <s v=" R1"/>
    <s v=" Delhi"/>
    <n v="2"/>
    <n v="8"/>
    <x v="0"/>
    <n v="6"/>
  </r>
  <r>
    <n v="10"/>
    <x v="2"/>
    <s v=" R2"/>
    <s v="Mumbai"/>
    <n v="3"/>
    <n v="5"/>
    <x v="0"/>
    <n v="2"/>
  </r>
  <r>
    <n v="11"/>
    <x v="2"/>
    <s v=" R3"/>
    <s v=" Chennai"/>
    <n v="5"/>
    <n v="5"/>
    <x v="1"/>
    <n v="0"/>
  </r>
  <r>
    <n v="12"/>
    <x v="3"/>
    <s v=" R4"/>
    <s v=" Mumbai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C1831-4941-4184-B7A7-6AB51BE6E0A3}" name="PivotTable1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7" firstHeaderRow="1" firstDataRow="2" firstDataCol="1"/>
  <pivotFields count="8">
    <pivotField compact="0" outline="0" showAll="0"/>
    <pivotField axis="axisCol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delay_days" fld="7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75B53-34D6-4B03-A5A8-F1865AB0D137}" name="Table1" displayName="Table1" ref="A1:F14" totalsRowShown="0" headerRowDxfId="1">
  <autoFilter ref="A1:F14" xr:uid="{00000000-0001-0000-0000-000000000000}">
    <filterColumn colId="1">
      <colorFilter dxfId="2"/>
    </filterColumn>
  </autoFilter>
  <tableColumns count="6">
    <tableColumn id="1" xr3:uid="{F4F3F687-8FE9-41EF-84EB-2840ED8EF928}" name="record_id"/>
    <tableColumn id="2" xr3:uid="{51D27452-77F3-49D0-8CE6-F3BB1B8D527E}" name="month"/>
    <tableColumn id="3" xr3:uid="{021B419E-8FAA-42BC-BD39-3D0D28ABE06D}" name="record_id2"/>
    <tableColumn id="4" xr3:uid="{10B88C93-D993-4845-A301-18CEC4846BC8}" name="hub"/>
    <tableColumn id="5" xr3:uid="{093EFFC0-ADDC-4CCA-88A3-32D4ADC2F5B6}" name="promised_days"/>
    <tableColumn id="6" xr3:uid="{6DC00F88-E8AF-4421-9C2B-283FC32BF84E}" name="actual_days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3CC034-4E4E-40DC-80E2-840987939083}" name="Table2" displayName="Table2" ref="A1:C5" totalsRowShown="0">
  <autoFilter ref="A1:C5" xr:uid="{193CC034-4E4E-40DC-80E2-840987939083}"/>
  <tableColumns count="3">
    <tableColumn id="1" xr3:uid="{217CBE83-6E79-4D23-A9AC-B2BD0391CD55}" name="route_id"/>
    <tableColumn id="2" xr3:uid="{97ED8430-28F9-44B9-98AF-C08B983AFBA5}" name="route"/>
    <tableColumn id="3" xr3:uid="{7C08F48C-1887-4883-869E-E4AF2C238362}" name="service_type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9A3384-BC4F-4C83-8A52-8BD22AB4AE83}" name="Table3" displayName="Table3" ref="A1:H13" totalsRowShown="0" headerRowDxfId="0">
  <autoFilter ref="A1:H13" xr:uid="{4E9A3384-BC4F-4C83-8A52-8BD22AB4AE83}"/>
  <tableColumns count="8">
    <tableColumn id="1" xr3:uid="{F4855541-3ED0-4681-983C-36B92A9C5F59}" name="record_id"/>
    <tableColumn id="2" xr3:uid="{47A95488-8E90-41A5-8A1F-C1A8102BB52C}" name=" month"/>
    <tableColumn id="3" xr3:uid="{940F8430-7ACB-4ECB-933F-23F36D15B13D}" name=" route_id"/>
    <tableColumn id="4" xr3:uid="{7270FA57-97AD-403E-B41D-44738D332B6F}" name=" hub"/>
    <tableColumn id="5" xr3:uid="{8CC41EF9-D07C-4923-9BB0-779E4C7103E5}" name=" promised_days"/>
    <tableColumn id="6" xr3:uid="{7E7AB782-5EB6-4A4C-93D8-EE54D01BDFC3}" name=" actual_days"/>
    <tableColumn id="7" xr3:uid="{DFC2BF82-C13E-4497-B747-7BBAD7826CE3}" name="service_type">
      <calculatedColumnFormula>_xlfn.XLOOKUP("*"&amp;TRIM(C2)&amp;"*",Lookup!$A$2:$A$5,Lookup!$C$2:$C$5,"Not Found",2)</calculatedColumnFormula>
    </tableColumn>
    <tableColumn id="8" xr3:uid="{CB04F1BF-3577-45EA-AF33-14108A43564A}" name="delay_days">
      <calculatedColumnFormula>MAX(F2-E2,0)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4"/>
  <sheetViews>
    <sheetView workbookViewId="0">
      <selection activeCell="F2" sqref="F2"/>
    </sheetView>
  </sheetViews>
  <sheetFormatPr defaultRowHeight="15"/>
  <cols>
    <col min="1" max="1" width="14.42578125" customWidth="1"/>
    <col min="2" max="2" width="12.140625" customWidth="1"/>
    <col min="3" max="3" width="14" customWidth="1"/>
    <col min="4" max="4" width="13.85546875" customWidth="1"/>
    <col min="5" max="5" width="17.5703125" bestFit="1" customWidth="1"/>
    <col min="6" max="6" width="14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2</v>
      </c>
      <c r="F2">
        <v>2</v>
      </c>
    </row>
    <row r="3" spans="1:6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</row>
    <row r="4" spans="1:6">
      <c r="A4">
        <v>3</v>
      </c>
      <c r="B4" t="s">
        <v>6</v>
      </c>
      <c r="C4" t="s">
        <v>11</v>
      </c>
      <c r="D4" t="s">
        <v>12</v>
      </c>
      <c r="E4">
        <v>5</v>
      </c>
      <c r="F4">
        <v>8</v>
      </c>
    </row>
    <row r="5" spans="1:6">
      <c r="A5">
        <v>4</v>
      </c>
      <c r="B5" t="s">
        <v>6</v>
      </c>
      <c r="C5" t="s">
        <v>13</v>
      </c>
      <c r="D5" t="s">
        <v>8</v>
      </c>
      <c r="E5">
        <v>6</v>
      </c>
      <c r="F5">
        <v>10</v>
      </c>
    </row>
    <row r="6" spans="1:6">
      <c r="A6">
        <v>5</v>
      </c>
      <c r="B6" t="s">
        <v>14</v>
      </c>
      <c r="C6" t="s">
        <v>7</v>
      </c>
      <c r="D6" t="s">
        <v>10</v>
      </c>
      <c r="E6">
        <v>2</v>
      </c>
      <c r="F6">
        <v>5</v>
      </c>
    </row>
    <row r="7" spans="1:6">
      <c r="A7">
        <v>6</v>
      </c>
      <c r="B7" t="s">
        <v>14</v>
      </c>
      <c r="C7" t="s">
        <v>9</v>
      </c>
      <c r="D7" t="s">
        <v>12</v>
      </c>
      <c r="E7">
        <v>3</v>
      </c>
      <c r="F7">
        <v>3</v>
      </c>
    </row>
    <row r="8" spans="1:6">
      <c r="A8">
        <v>7</v>
      </c>
      <c r="B8" t="s">
        <v>14</v>
      </c>
      <c r="C8" t="s">
        <v>11</v>
      </c>
      <c r="D8" t="s">
        <v>12</v>
      </c>
      <c r="E8">
        <v>5</v>
      </c>
      <c r="F8">
        <v>10</v>
      </c>
    </row>
    <row r="9" spans="1:6">
      <c r="A9">
        <v>8</v>
      </c>
      <c r="B9" t="s">
        <v>14</v>
      </c>
      <c r="C9" t="s">
        <v>13</v>
      </c>
      <c r="D9" t="s">
        <v>10</v>
      </c>
      <c r="E9">
        <v>6</v>
      </c>
      <c r="F9">
        <v>7</v>
      </c>
    </row>
    <row r="10" spans="1:6">
      <c r="A10">
        <v>9</v>
      </c>
      <c r="B10" t="s">
        <v>15</v>
      </c>
      <c r="C10" t="s">
        <v>16</v>
      </c>
      <c r="D10" t="s">
        <v>12</v>
      </c>
      <c r="E10">
        <v>2</v>
      </c>
      <c r="F10">
        <v>8</v>
      </c>
    </row>
    <row r="11" spans="1:6">
      <c r="A11">
        <v>10</v>
      </c>
      <c r="B11" t="s">
        <v>15</v>
      </c>
      <c r="C11" t="s">
        <v>9</v>
      </c>
      <c r="D11" t="s">
        <v>17</v>
      </c>
      <c r="E11">
        <v>3</v>
      </c>
      <c r="F11">
        <v>5</v>
      </c>
    </row>
    <row r="12" spans="1:6">
      <c r="A12">
        <v>11</v>
      </c>
      <c r="B12" t="s">
        <v>15</v>
      </c>
      <c r="C12" t="s">
        <v>11</v>
      </c>
      <c r="D12" t="s">
        <v>10</v>
      </c>
      <c r="E12">
        <v>5</v>
      </c>
      <c r="F12">
        <v>5</v>
      </c>
    </row>
    <row r="13" spans="1:6">
      <c r="A13">
        <v>12</v>
      </c>
      <c r="B13" t="s">
        <v>18</v>
      </c>
      <c r="C13" t="s">
        <v>13</v>
      </c>
      <c r="D13" t="s">
        <v>8</v>
      </c>
      <c r="E13">
        <v>6</v>
      </c>
      <c r="F13">
        <v>15</v>
      </c>
    </row>
    <row r="14" spans="1:6">
      <c r="A14">
        <v>12</v>
      </c>
      <c r="B14" t="s">
        <v>18</v>
      </c>
      <c r="C14" t="s">
        <v>13</v>
      </c>
      <c r="D14" t="s">
        <v>8</v>
      </c>
      <c r="E14">
        <v>6</v>
      </c>
      <c r="F14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9CC4-4E88-4AA8-9D7C-AC7F49B2E231}">
  <dimension ref="A1:C5"/>
  <sheetViews>
    <sheetView workbookViewId="0">
      <selection activeCell="H4" sqref="H4"/>
    </sheetView>
  </sheetViews>
  <sheetFormatPr defaultRowHeight="15"/>
  <cols>
    <col min="1" max="1" width="11" bestFit="1" customWidth="1"/>
    <col min="2" max="2" width="15.42578125" bestFit="1" customWidth="1"/>
    <col min="3" max="3" width="14.7109375" bestFit="1" customWidth="1"/>
  </cols>
  <sheetData>
    <row r="1" spans="1:3">
      <c r="A1" t="s">
        <v>19</v>
      </c>
      <c r="B1" t="s">
        <v>20</v>
      </c>
      <c r="C1" t="s">
        <v>21</v>
      </c>
    </row>
    <row r="2" spans="1:3">
      <c r="A2" t="s">
        <v>16</v>
      </c>
      <c r="B2" t="s">
        <v>22</v>
      </c>
      <c r="C2" t="s">
        <v>23</v>
      </c>
    </row>
    <row r="3" spans="1:3">
      <c r="A3" t="s">
        <v>24</v>
      </c>
      <c r="B3" t="s">
        <v>25</v>
      </c>
      <c r="C3" t="s">
        <v>23</v>
      </c>
    </row>
    <row r="4" spans="1:3">
      <c r="A4" t="s">
        <v>26</v>
      </c>
      <c r="B4" t="s">
        <v>27</v>
      </c>
      <c r="C4" t="s">
        <v>28</v>
      </c>
    </row>
    <row r="5" spans="1:3">
      <c r="A5" t="s">
        <v>29</v>
      </c>
      <c r="B5" t="s">
        <v>30</v>
      </c>
      <c r="C5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BEC-81ED-4C41-A015-63B03E9C328B}">
  <dimension ref="A3:F7"/>
  <sheetViews>
    <sheetView tabSelected="1" topLeftCell="A6" workbookViewId="0">
      <selection activeCell="I24" sqref="I24"/>
    </sheetView>
  </sheetViews>
  <sheetFormatPr defaultRowHeight="15"/>
  <cols>
    <col min="1" max="1" width="18.140625" bestFit="1" customWidth="1"/>
    <col min="2" max="2" width="10.7109375" bestFit="1" customWidth="1"/>
    <col min="3" max="3" width="4.5703125" bestFit="1" customWidth="1"/>
    <col min="4" max="4" width="4.85546875" bestFit="1" customWidth="1"/>
    <col min="5" max="5" width="5.28515625" bestFit="1" customWidth="1"/>
    <col min="6" max="6" width="11.7109375" bestFit="1" customWidth="1"/>
  </cols>
  <sheetData>
    <row r="3" spans="1:6">
      <c r="A3" s="9" t="s">
        <v>31</v>
      </c>
      <c r="B3" s="9" t="s">
        <v>32</v>
      </c>
    </row>
    <row r="4" spans="1:6">
      <c r="A4" s="9" t="s">
        <v>21</v>
      </c>
      <c r="B4" t="s">
        <v>15</v>
      </c>
      <c r="C4" t="s">
        <v>6</v>
      </c>
      <c r="D4" t="s">
        <v>14</v>
      </c>
      <c r="E4" t="s">
        <v>18</v>
      </c>
      <c r="F4" t="s">
        <v>33</v>
      </c>
    </row>
    <row r="5" spans="1:6">
      <c r="A5" t="s">
        <v>23</v>
      </c>
      <c r="B5" s="10">
        <v>8</v>
      </c>
      <c r="C5" s="10">
        <v>1</v>
      </c>
      <c r="D5" s="10">
        <v>3</v>
      </c>
      <c r="E5" s="10"/>
      <c r="F5" s="10">
        <v>12</v>
      </c>
    </row>
    <row r="6" spans="1:6">
      <c r="A6" t="s">
        <v>28</v>
      </c>
      <c r="B6" s="10">
        <v>0</v>
      </c>
      <c r="C6" s="10">
        <v>7</v>
      </c>
      <c r="D6" s="10">
        <v>6</v>
      </c>
      <c r="E6" s="10">
        <v>9</v>
      </c>
      <c r="F6" s="10">
        <v>22</v>
      </c>
    </row>
    <row r="7" spans="1:6">
      <c r="A7" t="s">
        <v>33</v>
      </c>
      <c r="B7" s="10">
        <v>8</v>
      </c>
      <c r="C7" s="10">
        <v>8</v>
      </c>
      <c r="D7" s="10">
        <v>9</v>
      </c>
      <c r="E7" s="10">
        <v>9</v>
      </c>
      <c r="F7" s="10">
        <v>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E2D0-5C1A-4612-86D6-CE9EF9952F37}">
  <dimension ref="A1:H13"/>
  <sheetViews>
    <sheetView workbookViewId="0">
      <selection activeCell="A2" sqref="A2:H13"/>
    </sheetView>
  </sheetViews>
  <sheetFormatPr defaultRowHeight="15"/>
  <cols>
    <col min="1" max="1" width="12" bestFit="1" customWidth="1"/>
    <col min="2" max="2" width="9.85546875" bestFit="1" customWidth="1"/>
    <col min="3" max="3" width="11.5703125" customWidth="1"/>
    <col min="5" max="5" width="17.5703125" customWidth="1"/>
    <col min="6" max="6" width="14.42578125" customWidth="1"/>
    <col min="7" max="7" width="14.7109375" customWidth="1"/>
    <col min="8" max="8" width="13.42578125" customWidth="1"/>
  </cols>
  <sheetData>
    <row r="1" spans="1:8">
      <c r="A1" s="2" t="s">
        <v>0</v>
      </c>
      <c r="B1" s="2" t="s">
        <v>32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21</v>
      </c>
      <c r="H1" s="2" t="s">
        <v>38</v>
      </c>
    </row>
    <row r="2" spans="1:8">
      <c r="A2">
        <v>1</v>
      </c>
      <c r="B2" t="s">
        <v>6</v>
      </c>
      <c r="C2" t="s">
        <v>7</v>
      </c>
      <c r="D2" t="s">
        <v>8</v>
      </c>
      <c r="E2">
        <v>2</v>
      </c>
      <c r="F2">
        <v>2</v>
      </c>
      <c r="G2" t="str">
        <f>_xlfn.XLOOKUP("*"&amp;TRIM(C2)&amp;"*",Lookup!$A$2:$A$5,Lookup!$C$2:$C$5,"Not Found",2)</f>
        <v>Express</v>
      </c>
      <c r="H2">
        <f>MAX(F2-E2,0)</f>
        <v>0</v>
      </c>
    </row>
    <row r="3" spans="1:8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  <c r="G3" t="str">
        <f>_xlfn.XLOOKUP("*"&amp;TRIM(C3)&amp;"*",Lookup!$A$2:$A$5,Lookup!$C$2:$C$5,"Not Found",2)</f>
        <v>Express</v>
      </c>
      <c r="H3">
        <f t="shared" ref="H3:H13" si="0">MAX(F3-E3,0)</f>
        <v>1</v>
      </c>
    </row>
    <row r="4" spans="1:8">
      <c r="A4">
        <v>3</v>
      </c>
      <c r="B4" t="s">
        <v>6</v>
      </c>
      <c r="C4" t="s">
        <v>11</v>
      </c>
      <c r="D4" t="s">
        <v>12</v>
      </c>
      <c r="E4">
        <v>5</v>
      </c>
      <c r="F4">
        <v>8</v>
      </c>
      <c r="G4" t="str">
        <f>_xlfn.XLOOKUP("*"&amp;TRIM(C4)&amp;"*",Lookup!$A$2:$A$5,Lookup!$C$2:$C$5,"Not Found",2)</f>
        <v>Standard</v>
      </c>
      <c r="H4">
        <f t="shared" si="0"/>
        <v>3</v>
      </c>
    </row>
    <row r="5" spans="1:8">
      <c r="A5">
        <v>4</v>
      </c>
      <c r="B5" t="s">
        <v>6</v>
      </c>
      <c r="C5" t="s">
        <v>13</v>
      </c>
      <c r="D5" t="s">
        <v>8</v>
      </c>
      <c r="E5">
        <v>6</v>
      </c>
      <c r="F5">
        <v>10</v>
      </c>
      <c r="G5" t="str">
        <f>_xlfn.XLOOKUP("*"&amp;TRIM(C5)&amp;"*",Lookup!$A$2:$A$5,Lookup!$C$2:$C$5,"Not Found",2)</f>
        <v>Standard</v>
      </c>
      <c r="H5">
        <f t="shared" si="0"/>
        <v>4</v>
      </c>
    </row>
    <row r="6" spans="1:8">
      <c r="A6">
        <v>5</v>
      </c>
      <c r="B6" t="s">
        <v>14</v>
      </c>
      <c r="C6" t="s">
        <v>7</v>
      </c>
      <c r="D6" t="s">
        <v>10</v>
      </c>
      <c r="E6">
        <v>2</v>
      </c>
      <c r="F6">
        <v>5</v>
      </c>
      <c r="G6" t="str">
        <f>_xlfn.XLOOKUP("*"&amp;TRIM(C6)&amp;"*",Lookup!$A$2:$A$5,Lookup!$C$2:$C$5,"Not Found",2)</f>
        <v>Express</v>
      </c>
      <c r="H6">
        <f t="shared" si="0"/>
        <v>3</v>
      </c>
    </row>
    <row r="7" spans="1:8">
      <c r="A7">
        <v>6</v>
      </c>
      <c r="B7" t="s">
        <v>14</v>
      </c>
      <c r="C7" t="s">
        <v>9</v>
      </c>
      <c r="D7" t="s">
        <v>12</v>
      </c>
      <c r="E7">
        <v>3</v>
      </c>
      <c r="F7">
        <v>3</v>
      </c>
      <c r="G7" t="str">
        <f>_xlfn.XLOOKUP("*"&amp;TRIM(C7)&amp;"*",Lookup!$A$2:$A$5,Lookup!$C$2:$C$5,"Not Found",2)</f>
        <v>Express</v>
      </c>
      <c r="H7">
        <f t="shared" si="0"/>
        <v>0</v>
      </c>
    </row>
    <row r="8" spans="1:8">
      <c r="A8">
        <v>7</v>
      </c>
      <c r="B8" t="s">
        <v>14</v>
      </c>
      <c r="C8" t="s">
        <v>11</v>
      </c>
      <c r="D8" t="s">
        <v>12</v>
      </c>
      <c r="E8">
        <v>5</v>
      </c>
      <c r="F8">
        <v>10</v>
      </c>
      <c r="G8" t="str">
        <f>_xlfn.XLOOKUP("*"&amp;TRIM(C8)&amp;"*",Lookup!$A$2:$A$5,Lookup!$C$2:$C$5,"Not Found",2)</f>
        <v>Standard</v>
      </c>
      <c r="H8">
        <f t="shared" si="0"/>
        <v>5</v>
      </c>
    </row>
    <row r="9" spans="1:8">
      <c r="A9">
        <v>8</v>
      </c>
      <c r="B9" t="s">
        <v>14</v>
      </c>
      <c r="C9" t="s">
        <v>13</v>
      </c>
      <c r="D9" t="s">
        <v>10</v>
      </c>
      <c r="E9">
        <v>6</v>
      </c>
      <c r="F9">
        <v>7</v>
      </c>
      <c r="G9" t="str">
        <f>_xlfn.XLOOKUP("*"&amp;TRIM(C9)&amp;"*",Lookup!$A$2:$A$5,Lookup!$C$2:$C$5,"Not Found",2)</f>
        <v>Standard</v>
      </c>
      <c r="H9">
        <f t="shared" si="0"/>
        <v>1</v>
      </c>
    </row>
    <row r="10" spans="1:8">
      <c r="A10">
        <v>9</v>
      </c>
      <c r="B10" t="s">
        <v>15</v>
      </c>
      <c r="C10" t="s">
        <v>7</v>
      </c>
      <c r="D10" t="s">
        <v>12</v>
      </c>
      <c r="E10">
        <v>2</v>
      </c>
      <c r="F10">
        <v>8</v>
      </c>
      <c r="G10" t="str">
        <f>_xlfn.XLOOKUP("*"&amp;TRIM(C10)&amp;"*",Lookup!$A$2:$A$5,Lookup!$C$2:$C$5,"Not Found",2)</f>
        <v>Express</v>
      </c>
      <c r="H10">
        <f t="shared" si="0"/>
        <v>6</v>
      </c>
    </row>
    <row r="11" spans="1:8">
      <c r="A11">
        <v>10</v>
      </c>
      <c r="B11" t="s">
        <v>15</v>
      </c>
      <c r="C11" t="s">
        <v>9</v>
      </c>
      <c r="D11" t="s">
        <v>17</v>
      </c>
      <c r="E11">
        <v>3</v>
      </c>
      <c r="F11">
        <v>5</v>
      </c>
      <c r="G11" t="str">
        <f>_xlfn.XLOOKUP("*"&amp;TRIM(C11)&amp;"*",Lookup!$A$2:$A$5,Lookup!$C$2:$C$5,"Not Found",2)</f>
        <v>Express</v>
      </c>
      <c r="H11">
        <f t="shared" si="0"/>
        <v>2</v>
      </c>
    </row>
    <row r="12" spans="1:8">
      <c r="A12">
        <v>11</v>
      </c>
      <c r="B12" t="s">
        <v>15</v>
      </c>
      <c r="C12" t="s">
        <v>11</v>
      </c>
      <c r="D12" t="s">
        <v>10</v>
      </c>
      <c r="E12">
        <v>5</v>
      </c>
      <c r="F12">
        <v>5</v>
      </c>
      <c r="G12" t="str">
        <f>_xlfn.XLOOKUP("*"&amp;TRIM(C12)&amp;"*",Lookup!$A$2:$A$5,Lookup!$C$2:$C$5,"Not Found",2)</f>
        <v>Standard</v>
      </c>
      <c r="H12">
        <f t="shared" si="0"/>
        <v>0</v>
      </c>
    </row>
    <row r="13" spans="1:8">
      <c r="A13">
        <v>12</v>
      </c>
      <c r="B13" t="s">
        <v>18</v>
      </c>
      <c r="C13" t="s">
        <v>13</v>
      </c>
      <c r="D13" t="s">
        <v>8</v>
      </c>
      <c r="E13">
        <v>6</v>
      </c>
      <c r="F13">
        <v>15</v>
      </c>
      <c r="G13" t="str">
        <f>_xlfn.XLOOKUP("*"&amp;TRIM(C13)&amp;"*",Lookup!$A$2:$A$5,Lookup!$C$2:$C$5,"Not Found",2)</f>
        <v>Standard</v>
      </c>
      <c r="H13">
        <f t="shared" si="0"/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256B-44E3-4C26-82EC-F4638AF77F5F}">
  <dimension ref="A1:K20"/>
  <sheetViews>
    <sheetView topLeftCell="A12" workbookViewId="0">
      <selection activeCell="H25" sqref="H25"/>
    </sheetView>
  </sheetViews>
  <sheetFormatPr defaultRowHeight="15"/>
  <cols>
    <col min="2" max="2" width="18.28515625" customWidth="1"/>
    <col min="7" max="7" width="12.7109375" customWidth="1"/>
    <col min="8" max="8" width="12.5703125" customWidth="1"/>
  </cols>
  <sheetData>
    <row r="1" spans="1:11" ht="21">
      <c r="A1" s="3" t="s">
        <v>39</v>
      </c>
      <c r="B1" s="3"/>
      <c r="C1" s="3"/>
      <c r="D1" s="3"/>
      <c r="E1" s="3"/>
      <c r="F1" s="3"/>
      <c r="G1" s="3"/>
      <c r="H1" s="3"/>
      <c r="I1" s="3"/>
      <c r="J1" s="3"/>
    </row>
    <row r="2" spans="1:11">
      <c r="A2" s="4" t="s">
        <v>40</v>
      </c>
      <c r="B2" s="4"/>
      <c r="C2" s="4"/>
      <c r="D2" s="4"/>
      <c r="E2" s="4"/>
      <c r="F2" s="4"/>
      <c r="G2" s="4"/>
      <c r="H2" s="4"/>
      <c r="I2" s="4"/>
      <c r="J2" s="4"/>
    </row>
    <row r="4" spans="1:11">
      <c r="A4" s="4" t="s">
        <v>41</v>
      </c>
      <c r="B4" s="4"/>
      <c r="C4" s="4"/>
      <c r="E4" s="4" t="s">
        <v>42</v>
      </c>
      <c r="F4" s="4"/>
      <c r="G4" s="4"/>
      <c r="I4" s="4" t="s">
        <v>43</v>
      </c>
      <c r="J4" s="4"/>
      <c r="K4" s="4"/>
    </row>
    <row r="5" spans="1:11">
      <c r="A5">
        <f>SUM(Clean!$H$2:$H$13)</f>
        <v>34</v>
      </c>
      <c r="E5">
        <f>COUNTIF(Clean!$H$2:$H$13,"&gt;0")</f>
        <v>9</v>
      </c>
      <c r="I5">
        <f>COUNTIF(Clean!$H$2:$H$13,"&gt;0")/COUNTA(Clean!$A$2:$A$13)</f>
        <v>0.75</v>
      </c>
    </row>
    <row r="9" spans="1:11">
      <c r="A9" s="6" t="s">
        <v>44</v>
      </c>
      <c r="B9" s="5"/>
      <c r="C9" s="5"/>
      <c r="D9" s="5"/>
      <c r="E9" s="5"/>
      <c r="G9" s="4" t="s">
        <v>45</v>
      </c>
      <c r="H9" s="4"/>
      <c r="I9" s="4"/>
      <c r="J9" s="4"/>
    </row>
    <row r="10" spans="1:11">
      <c r="A10" t="s">
        <v>46</v>
      </c>
      <c r="B10" t="s">
        <v>47</v>
      </c>
      <c r="G10" t="s">
        <v>48</v>
      </c>
      <c r="H10" t="s">
        <v>41</v>
      </c>
    </row>
    <row r="11" spans="1:11">
      <c r="A11" t="s">
        <v>49</v>
      </c>
      <c r="B11">
        <f>SUMIFS(Clean!$H$2:$H$13,Clean!$D$2:$D$13,A11)</f>
        <v>0</v>
      </c>
      <c r="G11" t="s">
        <v>23</v>
      </c>
      <c r="H11">
        <f>SUMIFS(Clean!$H$2:$H$13,Clean!$G$2:$G$13,G11)</f>
        <v>12</v>
      </c>
    </row>
    <row r="12" spans="1:11">
      <c r="A12" t="s">
        <v>50</v>
      </c>
      <c r="B12">
        <f>SUMIFS(Clean!$H$2:$H$13,Clean!$D$2:$D$13,A12)</f>
        <v>0</v>
      </c>
      <c r="G12" t="s">
        <v>28</v>
      </c>
      <c r="H12">
        <f>SUMIFS(Clean!$H$2:$H$13,Clean!$G$2:$G$13,G12)</f>
        <v>22</v>
      </c>
    </row>
    <row r="13" spans="1:11">
      <c r="A13" t="s">
        <v>17</v>
      </c>
      <c r="B13">
        <f>SUMIFS(Clean!$H$2:$H$13,Clean!$D$2:$D$13,A13)</f>
        <v>2</v>
      </c>
    </row>
    <row r="16" spans="1:11">
      <c r="A16" s="4" t="s">
        <v>51</v>
      </c>
      <c r="B16" s="4"/>
      <c r="C16" s="4"/>
      <c r="D16" s="4"/>
      <c r="E16" s="4"/>
      <c r="F16" s="4"/>
      <c r="G16" s="4"/>
      <c r="H16" s="4"/>
      <c r="I16" s="4"/>
      <c r="J16" s="4"/>
    </row>
    <row r="17" spans="1:11" ht="15" customHeight="1">
      <c r="A17" s="8" t="s">
        <v>52</v>
      </c>
      <c r="B17" s="8"/>
      <c r="C17" s="8"/>
      <c r="D17" s="8"/>
      <c r="E17" s="8"/>
      <c r="F17" s="8"/>
      <c r="G17" s="8"/>
      <c r="H17" s="8"/>
      <c r="I17" s="8"/>
      <c r="J17" s="8"/>
    </row>
    <row r="18" spans="1:11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1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1">
      <c r="A20" s="8"/>
      <c r="B20" s="8"/>
      <c r="C20" s="8"/>
      <c r="D20" s="8"/>
      <c r="E20" s="8"/>
      <c r="F20" s="8"/>
      <c r="G20" s="8"/>
      <c r="H20" s="8"/>
      <c r="I20" s="8"/>
      <c r="J20" s="8"/>
      <c r="K20" s="7"/>
    </row>
  </sheetData>
  <mergeCells count="9">
    <mergeCell ref="A17:J20"/>
    <mergeCell ref="A9:E9"/>
    <mergeCell ref="G9:J9"/>
    <mergeCell ref="A16:J16"/>
    <mergeCell ref="A1:J1"/>
    <mergeCell ref="A2:J2"/>
    <mergeCell ref="A4:C4"/>
    <mergeCell ref="E4:G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2026-09-26T06:26:46Z</dcterms:created>
  <dcterms:modified xsi:type="dcterms:W3CDTF">2026-09-26T07:52:22Z</dcterms:modified>
  <cp:category/>
  <cp:contentStatus/>
</cp:coreProperties>
</file>